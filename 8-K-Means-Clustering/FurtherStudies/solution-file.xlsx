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IIT-B Guest\Documents\UpGrad - Prof.Ashwin Kannan 10-09-2025\"/>
    </mc:Choice>
  </mc:AlternateContent>
  <bookViews>
    <workbookView xWindow="0" yWindow="0" windowWidth="19200" windowHeight="6930" activeTab="1"/>
  </bookViews>
  <sheets>
    <sheet name="Sheet1" sheetId="1" r:id="rId1"/>
    <sheet name="Sheet2" sheetId="3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H30" i="1"/>
  <c r="G30" i="1"/>
  <c r="F30" i="1"/>
  <c r="E30" i="1"/>
  <c r="D30" i="1"/>
  <c r="C30" i="1"/>
  <c r="B30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25" i="1"/>
  <c r="O24" i="1"/>
  <c r="O23" i="1"/>
  <c r="O22" i="1"/>
  <c r="X22" i="1" s="1"/>
  <c r="O21" i="1"/>
  <c r="O20" i="1"/>
  <c r="O19" i="1"/>
  <c r="O18" i="1"/>
  <c r="X18" i="1" s="1"/>
  <c r="O17" i="1"/>
  <c r="O16" i="1"/>
  <c r="O15" i="1"/>
  <c r="O14" i="1"/>
  <c r="X14" i="1" s="1"/>
  <c r="O13" i="1"/>
  <c r="O12" i="1"/>
  <c r="O11" i="1"/>
  <c r="O10" i="1"/>
  <c r="X10" i="1" s="1"/>
  <c r="O9" i="1"/>
  <c r="O8" i="1"/>
  <c r="O7" i="1"/>
  <c r="O6" i="1"/>
  <c r="X6" i="1" s="1"/>
  <c r="O5" i="1"/>
  <c r="O4" i="1"/>
  <c r="O3" i="1"/>
  <c r="O2" i="1"/>
  <c r="X2" i="1" s="1"/>
  <c r="X3" i="1" l="1"/>
  <c r="X7" i="1"/>
  <c r="X11" i="1"/>
  <c r="X15" i="1"/>
  <c r="X19" i="1"/>
  <c r="X23" i="1"/>
  <c r="X4" i="1"/>
  <c r="X8" i="1"/>
  <c r="X12" i="1"/>
  <c r="X16" i="1"/>
  <c r="X20" i="1"/>
  <c r="X24" i="1"/>
  <c r="X5" i="1"/>
  <c r="X9" i="1"/>
  <c r="X13" i="1"/>
  <c r="X17" i="1"/>
  <c r="X21" i="1"/>
  <c r="X25" i="1"/>
  <c r="Q32" i="1"/>
  <c r="Q31" i="1"/>
</calcChain>
</file>

<file path=xl/sharedStrings.xml><?xml version="1.0" encoding="utf-8"?>
<sst xmlns="http://schemas.openxmlformats.org/spreadsheetml/2006/main" count="61" uniqueCount="47">
  <si>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</si>
  <si>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</si>
  <si>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</si>
  <si>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</si>
  <si>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</si>
  <si>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</si>
  <si>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</si>
  <si>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</si>
  <si>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</si>
  <si>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Pnorm</t>
  </si>
  <si>
    <t>Gnorm</t>
  </si>
  <si>
    <t>Inorm</t>
  </si>
  <si>
    <t>Dnorm</t>
  </si>
  <si>
    <t>Anorm</t>
  </si>
  <si>
    <t>New data</t>
  </si>
  <si>
    <t>ID</t>
  </si>
  <si>
    <t>Faceshot</t>
  </si>
  <si>
    <t xml:space="preserve">A subset rather. </t>
  </si>
  <si>
    <t xml:space="preserve">We are now going to go over a real-life dataset, namely the - diabetes. </t>
  </si>
  <si>
    <t xml:space="preserve">There are 8 features -- on bmi, pregnancies, glucose levels etc. The outcome/label is 0/1 -- 0 refers to non-diabetic patient. </t>
  </si>
  <si>
    <t xml:space="preserve">We are given one test data point - to classify if the test data can be binned into diabetic or non-diabetic. </t>
  </si>
  <si>
    <t xml:space="preserve">We proceed with the same protocol. Normalization, Defining a radius and then doing a majority voting. </t>
  </si>
  <si>
    <t>Diabetic</t>
  </si>
  <si>
    <t>Non-diabetic</t>
  </si>
  <si>
    <t>??</t>
  </si>
  <si>
    <t>Diabetic or not</t>
  </si>
  <si>
    <t>Bpnorm</t>
  </si>
  <si>
    <t>Stnorm</t>
  </si>
  <si>
    <t>BMInorm</t>
  </si>
  <si>
    <t>Normallized New Data</t>
  </si>
  <si>
    <t>Distance (Euclidean)</t>
  </si>
  <si>
    <t>Ball-Tree</t>
  </si>
  <si>
    <t>0.3 is not great…</t>
  </si>
  <si>
    <t>1.5 is also not great.</t>
  </si>
  <si>
    <t>0.5 to 0.6</t>
  </si>
  <si>
    <t>Fix radius as 0.5</t>
  </si>
  <si>
    <t>Samples: 20, 11, 15, 2, 6, and 4</t>
  </si>
  <si>
    <t>Labels: 1, 0 , 1, 0, 0, 0</t>
  </si>
  <si>
    <t xml:space="preserve">2 1's and 4 0's. </t>
  </si>
  <si>
    <t>Majority vote: 0.</t>
  </si>
  <si>
    <t xml:space="preserve">I can adjudicate that the person is NOT diabetic. </t>
  </si>
  <si>
    <t xml:space="preserve">Increase it to 1. </t>
  </si>
  <si>
    <t>Prone to outliers.</t>
  </si>
  <si>
    <t xml:space="preserve">17 points </t>
  </si>
  <si>
    <t>10 1's and 7 0's</t>
  </si>
  <si>
    <t>Naturally, this leads to a biased classification.</t>
  </si>
  <si>
    <t>It biases our predictions to diabetic. This not right.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</si>
</sst>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EF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right" wrapText="1" readingOrder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opLeftCell="G1" zoomScale="125" zoomScaleNormal="125" workbookViewId="0">
      <selection activeCell="N1" sqref="N1:X25"/>
    </sheetView>
  </sheetViews>
  <sheetFormatPr defaultRowHeight="15" x14ac:dyDescent="0.25"/>
  <cols>
    <col min="1" max="1" width="20.140625" customWidth="1"/>
    <col min="2" max="2" width="14" customWidth="1"/>
    <col min="3" max="3" width="11.85546875" customWidth="1"/>
    <col min="4" max="4" width="12.5703125" customWidth="1"/>
    <col min="5" max="5" width="11.7109375" customWidth="1"/>
    <col min="6" max="6" width="11.140625" customWidth="1"/>
    <col min="7" max="7" width="10.140625" customWidth="1"/>
    <col min="8" max="8" width="12.7109375" customWidth="1"/>
  </cols>
  <sheetData>
    <row r="1" spans="1:27" x14ac:dyDescent="0.25">
      <c r="A1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N1" t="s">
        <v>15</v>
      </c>
      <c r="O1" s="3" t="s">
        <v>9</v>
      </c>
      <c r="P1" s="3" t="s">
        <v>10</v>
      </c>
      <c r="Q1" s="3" t="s">
        <v>26</v>
      </c>
      <c r="R1" s="3" t="s">
        <v>27</v>
      </c>
      <c r="S1" s="3" t="s">
        <v>11</v>
      </c>
      <c r="T1" s="3" t="s">
        <v>28</v>
      </c>
      <c r="U1" s="3" t="s">
        <v>12</v>
      </c>
      <c r="V1" s="3" t="s">
        <v>13</v>
      </c>
      <c r="W1" s="4" t="s">
        <v>8</v>
      </c>
      <c r="X1" s="3" t="s">
        <v>30</v>
      </c>
      <c r="AA1" t="s">
        <v>31</v>
      </c>
    </row>
    <row r="2" spans="1:27" x14ac:dyDescent="0.25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>
        <v>1</v>
      </c>
      <c r="K2" t="s">
        <v>22</v>
      </c>
      <c r="N2">
        <v>1</v>
      </c>
      <c r="O2">
        <f>B2/MAX(B$2:B$25)</f>
        <v>0.6</v>
      </c>
      <c r="P2">
        <f>C2/MAX(C$2:C$25)</f>
        <v>0.75126903553299496</v>
      </c>
      <c r="Q2">
        <f>D2/MAX(D$2:D$25)</f>
        <v>0.75</v>
      </c>
      <c r="R2">
        <f>E2/MAX(E$2:E$25)</f>
        <v>0.74468085106382975</v>
      </c>
      <c r="S2">
        <f>F2/MAX(F$2:F$25)</f>
        <v>0</v>
      </c>
      <c r="T2">
        <f>G2/MAX(G$2:G$25)</f>
        <v>0.73362445414847166</v>
      </c>
      <c r="U2">
        <f>H2/MAX(H$2:H$25)</f>
        <v>0.27403846153846156</v>
      </c>
      <c r="V2">
        <f>I2/MAX(I$2:I$25)</f>
        <v>0.84745762711864403</v>
      </c>
      <c r="W2">
        <v>1</v>
      </c>
      <c r="X2" s="6">
        <f>SUMXMY2(O2:V2,B$30:I$30)</f>
        <v>0.57604781151888462</v>
      </c>
    </row>
    <row r="3" spans="1:27" x14ac:dyDescent="0.25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>
        <v>0</v>
      </c>
      <c r="K3" t="s">
        <v>23</v>
      </c>
      <c r="N3">
        <v>2</v>
      </c>
      <c r="O3">
        <f>B3/MAX(B$2:B$25)</f>
        <v>0.1</v>
      </c>
      <c r="P3">
        <f>C3/MAX(C$2:C$25)</f>
        <v>0.43147208121827413</v>
      </c>
      <c r="Q3">
        <f>D3/MAX(D$2:D$25)</f>
        <v>0.6875</v>
      </c>
      <c r="R3">
        <f>E3/MAX(E$2:E$25)</f>
        <v>0.61702127659574468</v>
      </c>
      <c r="S3">
        <f>F3/MAX(F$2:F$25)</f>
        <v>0</v>
      </c>
      <c r="T3">
        <f>G3/MAX(G$2:G$25)</f>
        <v>0.58078602620087338</v>
      </c>
      <c r="U3">
        <f>H3/MAX(H$2:H$25)</f>
        <v>0.15340909090909091</v>
      </c>
      <c r="V3">
        <f>I3/MAX(I$2:I$25)</f>
        <v>0.52542372881355937</v>
      </c>
      <c r="W3">
        <v>0</v>
      </c>
      <c r="X3" s="6">
        <f>SUMXMY2(O3:V3,B$30:I$30)</f>
        <v>0.35052089675104009</v>
      </c>
    </row>
    <row r="4" spans="1:27" x14ac:dyDescent="0.25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>
        <v>1</v>
      </c>
      <c r="N4">
        <v>3</v>
      </c>
      <c r="O4">
        <f>B4/MAX(B$2:B$25)</f>
        <v>0.8</v>
      </c>
      <c r="P4">
        <f>C4/MAX(C$2:C$25)</f>
        <v>0.92893401015228427</v>
      </c>
      <c r="Q4">
        <f>D4/MAX(D$2:D$25)</f>
        <v>0.66666666666666663</v>
      </c>
      <c r="R4">
        <f>E4/MAX(E$2:E$25)</f>
        <v>0</v>
      </c>
      <c r="S4">
        <f>F4/MAX(F$2:F$25)</f>
        <v>0</v>
      </c>
      <c r="T4">
        <f>G4/MAX(G$2:G$25)</f>
        <v>0.50873362445414849</v>
      </c>
      <c r="U4">
        <f>H4/MAX(H$2:H$25)</f>
        <v>0.29370629370629375</v>
      </c>
      <c r="V4">
        <f>I4/MAX(I$2:I$25)</f>
        <v>0.5423728813559322</v>
      </c>
      <c r="W4">
        <v>1</v>
      </c>
      <c r="X4" s="6">
        <f>SUMXMY2(O4:V4,B$30:I$30)</f>
        <v>0.68678636262713966</v>
      </c>
    </row>
    <row r="5" spans="1:27" x14ac:dyDescent="0.25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>
        <v>0</v>
      </c>
      <c r="N5">
        <v>4</v>
      </c>
      <c r="O5">
        <f>B5/MAX(B$2:B$25)</f>
        <v>0.1</v>
      </c>
      <c r="P5">
        <f>C5/MAX(C$2:C$25)</f>
        <v>0.45177664974619292</v>
      </c>
      <c r="Q5">
        <f>D5/MAX(D$2:D$25)</f>
        <v>0.6875</v>
      </c>
      <c r="R5">
        <f>E5/MAX(E$2:E$25)</f>
        <v>0.48936170212765956</v>
      </c>
      <c r="S5">
        <f>F5/MAX(F$2:F$25)</f>
        <v>0.1111111111111111</v>
      </c>
      <c r="T5">
        <f>G5/MAX(G$2:G$25)</f>
        <v>0.61353711790393017</v>
      </c>
      <c r="U5">
        <f>H5/MAX(H$2:H$25)</f>
        <v>7.2989510489510495E-2</v>
      </c>
      <c r="V5">
        <f>I5/MAX(I$2:I$25)</f>
        <v>0.3559322033898305</v>
      </c>
      <c r="W5">
        <v>0</v>
      </c>
      <c r="X5" s="6">
        <f>SUMXMY2(O5:V5,B$30:I$30)</f>
        <v>0.37398067407059249</v>
      </c>
    </row>
    <row r="6" spans="1:27" x14ac:dyDescent="0.25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>
        <v>1</v>
      </c>
      <c r="N6">
        <v>5</v>
      </c>
      <c r="O6">
        <f>B6/MAX(B$2:B$25)</f>
        <v>0</v>
      </c>
      <c r="P6">
        <f>C6/MAX(C$2:C$25)</f>
        <v>0.69543147208121825</v>
      </c>
      <c r="Q6">
        <f>D6/MAX(D$2:D$25)</f>
        <v>0.41666666666666669</v>
      </c>
      <c r="R6">
        <f>E6/MAX(E$2:E$25)</f>
        <v>0.74468085106382975</v>
      </c>
      <c r="S6">
        <f>F6/MAX(F$2:F$25)</f>
        <v>0.19858156028368795</v>
      </c>
      <c r="T6">
        <f>G6/MAX(G$2:G$25)</f>
        <v>0.94104803493449796</v>
      </c>
      <c r="U6">
        <f>H6/MAX(H$2:H$25)</f>
        <v>1</v>
      </c>
      <c r="V6">
        <f>I6/MAX(I$2:I$25)</f>
        <v>0.55932203389830504</v>
      </c>
      <c r="W6">
        <v>1</v>
      </c>
      <c r="X6" s="6">
        <f>SUMXMY2(O6:V6,B$30:I$30)</f>
        <v>0.98271988749832129</v>
      </c>
    </row>
    <row r="7" spans="1:27" x14ac:dyDescent="0.25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>
        <v>0</v>
      </c>
      <c r="N7">
        <v>6</v>
      </c>
      <c r="O7">
        <f>B7/MAX(B$2:B$25)</f>
        <v>0.5</v>
      </c>
      <c r="P7">
        <f>C7/MAX(C$2:C$25)</f>
        <v>0.58883248730964466</v>
      </c>
      <c r="Q7">
        <f>D7/MAX(D$2:D$25)</f>
        <v>0.77083333333333337</v>
      </c>
      <c r="R7">
        <f>E7/MAX(E$2:E$25)</f>
        <v>0</v>
      </c>
      <c r="S7">
        <f>F7/MAX(F$2:F$25)</f>
        <v>0</v>
      </c>
      <c r="T7">
        <f>G7/MAX(G$2:G$25)</f>
        <v>0.55895196506550227</v>
      </c>
      <c r="U7">
        <f>H7/MAX(H$2:H$25)</f>
        <v>8.7849650349650366E-2</v>
      </c>
      <c r="V7">
        <f>I7/MAX(I$2:I$25)</f>
        <v>0.50847457627118642</v>
      </c>
      <c r="W7">
        <v>0</v>
      </c>
      <c r="X7" s="6">
        <f>SUMXMY2(O7:V7,B$30:I$30)</f>
        <v>0.35492230658762325</v>
      </c>
    </row>
    <row r="8" spans="1:27" x14ac:dyDescent="0.25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>
        <v>1</v>
      </c>
      <c r="N8">
        <v>7</v>
      </c>
      <c r="O8">
        <f>B8/MAX(B$2:B$25)</f>
        <v>0.3</v>
      </c>
      <c r="P8">
        <f>C8/MAX(C$2:C$25)</f>
        <v>0.39593908629441626</v>
      </c>
      <c r="Q8">
        <f>D8/MAX(D$2:D$25)</f>
        <v>0.52083333333333337</v>
      </c>
      <c r="R8">
        <f>E8/MAX(E$2:E$25)</f>
        <v>0.68085106382978722</v>
      </c>
      <c r="S8">
        <f>F8/MAX(F$2:F$25)</f>
        <v>0.10401891252955082</v>
      </c>
      <c r="T8">
        <f>G8/MAX(G$2:G$25)</f>
        <v>0.67685589519650657</v>
      </c>
      <c r="U8">
        <f>H8/MAX(H$2:H$25)</f>
        <v>0.1083916083916084</v>
      </c>
      <c r="V8">
        <f>I8/MAX(I$2:I$25)</f>
        <v>0.44067796610169491</v>
      </c>
      <c r="W8">
        <v>1</v>
      </c>
      <c r="X8" s="6">
        <f>SUMXMY2(O8:V8,B$30:I$30)</f>
        <v>0.58543101616038606</v>
      </c>
    </row>
    <row r="9" spans="1:27" x14ac:dyDescent="0.25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>
        <v>0</v>
      </c>
      <c r="N9">
        <v>8</v>
      </c>
      <c r="O9">
        <f>B9/MAX(B$2:B$25)</f>
        <v>1</v>
      </c>
      <c r="P9">
        <f>C9/MAX(C$2:C$25)</f>
        <v>0.58375634517766495</v>
      </c>
      <c r="Q9">
        <f>D9/MAX(D$2:D$25)</f>
        <v>0</v>
      </c>
      <c r="R9">
        <f>E9/MAX(E$2:E$25)</f>
        <v>0</v>
      </c>
      <c r="S9">
        <f>F9/MAX(F$2:F$25)</f>
        <v>0</v>
      </c>
      <c r="T9">
        <f>G9/MAX(G$2:G$25)</f>
        <v>0.77074235807860259</v>
      </c>
      <c r="U9">
        <f>H9/MAX(H$2:H$25)</f>
        <v>5.8566433566433575E-2</v>
      </c>
      <c r="V9">
        <f>I9/MAX(I$2:I$25)</f>
        <v>0.49152542372881358</v>
      </c>
      <c r="W9">
        <v>0</v>
      </c>
      <c r="X9" s="6">
        <f>SUMXMY2(O9:V9,B$30:I$30)</f>
        <v>1.6861139488573174</v>
      </c>
    </row>
    <row r="10" spans="1:27" x14ac:dyDescent="0.25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>
        <v>1</v>
      </c>
      <c r="N10">
        <v>9</v>
      </c>
      <c r="O10">
        <f>B10/MAX(B$2:B$25)</f>
        <v>0.2</v>
      </c>
      <c r="P10">
        <f>C10/MAX(C$2:C$25)</f>
        <v>1</v>
      </c>
      <c r="Q10">
        <f>D10/MAX(D$2:D$25)</f>
        <v>0.72916666666666663</v>
      </c>
      <c r="R10">
        <f>E10/MAX(E$2:E$25)</f>
        <v>0.95744680851063835</v>
      </c>
      <c r="S10">
        <f>F10/MAX(F$2:F$25)</f>
        <v>0.64184397163120566</v>
      </c>
      <c r="T10">
        <f>G10/MAX(G$2:G$25)</f>
        <v>0.66593886462882101</v>
      </c>
      <c r="U10">
        <f>H10/MAX(H$2:H$25)</f>
        <v>6.9055944055944063E-2</v>
      </c>
      <c r="V10">
        <f>I10/MAX(I$2:I$25)</f>
        <v>0.89830508474576276</v>
      </c>
      <c r="W10">
        <v>1</v>
      </c>
      <c r="X10" s="6">
        <f>SUMXMY2(O10:V10,B$30:I$30)</f>
        <v>1.2042040268212959</v>
      </c>
    </row>
    <row r="11" spans="1:27" x14ac:dyDescent="0.25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>
        <v>1</v>
      </c>
      <c r="N11">
        <v>10</v>
      </c>
      <c r="O11">
        <f>B11/MAX(B$2:B$25)</f>
        <v>0.8</v>
      </c>
      <c r="P11">
        <f>C11/MAX(C$2:C$25)</f>
        <v>0.63451776649746194</v>
      </c>
      <c r="Q11">
        <f>D11/MAX(D$2:D$25)</f>
        <v>1</v>
      </c>
      <c r="R11">
        <f>E11/MAX(E$2:E$25)</f>
        <v>0</v>
      </c>
      <c r="S11">
        <f>F11/MAX(F$2:F$25)</f>
        <v>0</v>
      </c>
      <c r="T11">
        <f>G11/MAX(G$2:G$25)</f>
        <v>0</v>
      </c>
      <c r="U11">
        <f>H11/MAX(H$2:H$25)</f>
        <v>0.10139860139860141</v>
      </c>
      <c r="V11">
        <f>I11/MAX(I$2:I$25)</f>
        <v>0.9152542372881356</v>
      </c>
      <c r="W11">
        <v>1</v>
      </c>
      <c r="X11" s="6">
        <f>SUMXMY2(O11:V11,B$30:I$30)</f>
        <v>1.2378748613583783</v>
      </c>
    </row>
    <row r="12" spans="1:27" x14ac:dyDescent="0.25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>
        <v>0</v>
      </c>
      <c r="N12">
        <v>11</v>
      </c>
      <c r="O12">
        <f>B12/MAX(B$2:B$25)</f>
        <v>0.4</v>
      </c>
      <c r="P12">
        <f>C12/MAX(C$2:C$25)</f>
        <v>0.55837563451776651</v>
      </c>
      <c r="Q12">
        <f>D12/MAX(D$2:D$25)</f>
        <v>0.95833333333333337</v>
      </c>
      <c r="R12">
        <f>E12/MAX(E$2:E$25)</f>
        <v>0</v>
      </c>
      <c r="S12">
        <f>F12/MAX(F$2:F$25)</f>
        <v>0</v>
      </c>
      <c r="T12">
        <f>G12/MAX(G$2:G$25)</f>
        <v>0.82096069868995636</v>
      </c>
      <c r="U12">
        <f>H12/MAX(H$2:H$25)</f>
        <v>8.347902097902099E-2</v>
      </c>
      <c r="V12">
        <f>I12/MAX(I$2:I$25)</f>
        <v>0.50847457627118642</v>
      </c>
      <c r="W12">
        <v>0</v>
      </c>
      <c r="X12" s="6">
        <f>SUMXMY2(O12:V12,B$30:I$30)</f>
        <v>0.2798377749796277</v>
      </c>
    </row>
    <row r="13" spans="1:27" x14ac:dyDescent="0.25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>
        <v>1</v>
      </c>
      <c r="N13">
        <v>12</v>
      </c>
      <c r="O13">
        <f>B13/MAX(B$2:B$25)</f>
        <v>1</v>
      </c>
      <c r="P13">
        <f>C13/MAX(C$2:C$25)</f>
        <v>0.85279187817258884</v>
      </c>
      <c r="Q13">
        <f>D13/MAX(D$2:D$25)</f>
        <v>0.77083333333333337</v>
      </c>
      <c r="R13">
        <f>E13/MAX(E$2:E$25)</f>
        <v>0</v>
      </c>
      <c r="S13">
        <f>F13/MAX(F$2:F$25)</f>
        <v>0</v>
      </c>
      <c r="T13">
        <f>G13/MAX(G$2:G$25)</f>
        <v>0.82969432314410485</v>
      </c>
      <c r="U13">
        <f>H13/MAX(H$2:H$25)</f>
        <v>0.23470279720279724</v>
      </c>
      <c r="V13">
        <f>I13/MAX(I$2:I$25)</f>
        <v>0.57627118644067798</v>
      </c>
      <c r="W13">
        <v>1</v>
      </c>
      <c r="X13" s="6">
        <f>SUMXMY2(O13:V13,B$30:I$30)</f>
        <v>0.91055951751325903</v>
      </c>
    </row>
    <row r="14" spans="1:27" x14ac:dyDescent="0.25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>
        <v>0</v>
      </c>
      <c r="N14">
        <v>13</v>
      </c>
      <c r="O14">
        <f>B14/MAX(B$2:B$25)</f>
        <v>1</v>
      </c>
      <c r="P14">
        <f>C14/MAX(C$2:C$25)</f>
        <v>0.70558375634517767</v>
      </c>
      <c r="Q14">
        <f>D14/MAX(D$2:D$25)</f>
        <v>0.83333333333333337</v>
      </c>
      <c r="R14">
        <f>E14/MAX(E$2:E$25)</f>
        <v>0</v>
      </c>
      <c r="S14">
        <f>F14/MAX(F$2:F$25)</f>
        <v>0</v>
      </c>
      <c r="T14">
        <f>G14/MAX(G$2:G$25)</f>
        <v>0.59170305676855905</v>
      </c>
      <c r="U14">
        <f>H14/MAX(H$2:H$25)</f>
        <v>0.6298076923076924</v>
      </c>
      <c r="V14">
        <f>I14/MAX(I$2:I$25)</f>
        <v>0.96610169491525422</v>
      </c>
      <c r="W14">
        <v>0</v>
      </c>
      <c r="X14" s="6">
        <f>SUMXMY2(O14:V14,B$30:I$30)</f>
        <v>1.0395023121962832</v>
      </c>
    </row>
    <row r="15" spans="1:27" x14ac:dyDescent="0.25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>
        <v>1</v>
      </c>
      <c r="N15">
        <v>14</v>
      </c>
      <c r="O15">
        <f>B15/MAX(B$2:B$25)</f>
        <v>0.1</v>
      </c>
      <c r="P15">
        <f>C15/MAX(C$2:C$25)</f>
        <v>0.95939086294416243</v>
      </c>
      <c r="Q15">
        <f>D15/MAX(D$2:D$25)</f>
        <v>0.625</v>
      </c>
      <c r="R15">
        <f>E15/MAX(E$2:E$25)</f>
        <v>0.48936170212765956</v>
      </c>
      <c r="S15">
        <f>F15/MAX(F$2:F$25)</f>
        <v>1</v>
      </c>
      <c r="T15">
        <f>G15/MAX(G$2:G$25)</f>
        <v>0.65720524017467252</v>
      </c>
      <c r="U15">
        <f>H15/MAX(H$2:H$25)</f>
        <v>0.17395104895104899</v>
      </c>
      <c r="V15">
        <f>I15/MAX(I$2:I$25)</f>
        <v>1</v>
      </c>
      <c r="W15">
        <v>1</v>
      </c>
      <c r="X15" s="6">
        <f>SUMXMY2(O15:V15,B$30:I$30)</f>
        <v>1.3236021582541477</v>
      </c>
    </row>
    <row r="16" spans="1:27" x14ac:dyDescent="0.25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>
        <v>1</v>
      </c>
      <c r="N16">
        <v>15</v>
      </c>
      <c r="O16">
        <f>B16/MAX(B$2:B$25)</f>
        <v>0.5</v>
      </c>
      <c r="P16">
        <f>C16/MAX(C$2:C$25)</f>
        <v>0.84263959390862941</v>
      </c>
      <c r="Q16">
        <f>D16/MAX(D$2:D$25)</f>
        <v>0.75</v>
      </c>
      <c r="R16">
        <f>E16/MAX(E$2:E$25)</f>
        <v>0.40425531914893614</v>
      </c>
      <c r="S16">
        <f>F16/MAX(F$2:F$25)</f>
        <v>0.20685579196217493</v>
      </c>
      <c r="T16">
        <f>G16/MAX(G$2:G$25)</f>
        <v>0.56331877729257651</v>
      </c>
      <c r="U16">
        <f>H16/MAX(H$2:H$25)</f>
        <v>0.25655594405594406</v>
      </c>
      <c r="V16">
        <f>I16/MAX(I$2:I$25)</f>
        <v>0.86440677966101698</v>
      </c>
      <c r="W16">
        <v>1</v>
      </c>
      <c r="X16" s="6">
        <f>SUMXMY2(O16:V16,B$30:I$30)</f>
        <v>0.33930234493103939</v>
      </c>
    </row>
    <row r="17" spans="1:24" x14ac:dyDescent="0.25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>
        <v>1</v>
      </c>
      <c r="N17">
        <v>16</v>
      </c>
      <c r="O17">
        <f>B17/MAX(B$2:B$25)</f>
        <v>0.7</v>
      </c>
      <c r="P17">
        <f>C17/MAX(C$2:C$25)</f>
        <v>0.50761421319796951</v>
      </c>
      <c r="Q17">
        <f>D17/MAX(D$2:D$25)</f>
        <v>0</v>
      </c>
      <c r="R17">
        <f>E17/MAX(E$2:E$25)</f>
        <v>0</v>
      </c>
      <c r="S17">
        <f>F17/MAX(F$2:F$25)</f>
        <v>0</v>
      </c>
      <c r="T17">
        <f>G17/MAX(G$2:G$25)</f>
        <v>0.65502183406113546</v>
      </c>
      <c r="U17">
        <f>H17/MAX(H$2:H$25)</f>
        <v>0.21153846153846154</v>
      </c>
      <c r="V17">
        <f>I17/MAX(I$2:I$25)</f>
        <v>0.5423728813559322</v>
      </c>
      <c r="W17">
        <v>1</v>
      </c>
      <c r="X17" s="6">
        <f>SUMXMY2(O17:V17,B$30:I$30)</f>
        <v>1.1860293820535333</v>
      </c>
    </row>
    <row r="18" spans="1:24" x14ac:dyDescent="0.25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>
        <v>1</v>
      </c>
      <c r="N18">
        <v>17</v>
      </c>
      <c r="O18">
        <f>B18/MAX(B$2:B$25)</f>
        <v>0</v>
      </c>
      <c r="P18">
        <f>C18/MAX(C$2:C$25)</f>
        <v>0.59898477157360408</v>
      </c>
      <c r="Q18">
        <f>D18/MAX(D$2:D$25)</f>
        <v>0.875</v>
      </c>
      <c r="R18">
        <f>E18/MAX(E$2:E$25)</f>
        <v>1</v>
      </c>
      <c r="S18">
        <f>F18/MAX(F$2:F$25)</f>
        <v>0.27186761229314421</v>
      </c>
      <c r="T18">
        <f>G18/MAX(G$2:G$25)</f>
        <v>1</v>
      </c>
      <c r="U18">
        <f>H18/MAX(H$2:H$25)</f>
        <v>0.24082167832167836</v>
      </c>
      <c r="V18">
        <f>I18/MAX(I$2:I$25)</f>
        <v>0.52542372881355937</v>
      </c>
      <c r="W18">
        <v>1</v>
      </c>
      <c r="X18" s="6">
        <f>SUMXMY2(O18:V18,B$30:I$30)</f>
        <v>0.8193490963374237</v>
      </c>
    </row>
    <row r="19" spans="1:24" x14ac:dyDescent="0.25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>
        <v>1</v>
      </c>
      <c r="N19">
        <v>18</v>
      </c>
      <c r="O19">
        <f>B19/MAX(B$2:B$25)</f>
        <v>0.7</v>
      </c>
      <c r="P19">
        <f>C19/MAX(C$2:C$25)</f>
        <v>0.54314720812182737</v>
      </c>
      <c r="Q19">
        <f>D19/MAX(D$2:D$25)</f>
        <v>0.77083333333333337</v>
      </c>
      <c r="R19">
        <f>E19/MAX(E$2:E$25)</f>
        <v>0</v>
      </c>
      <c r="S19">
        <f>F19/MAX(F$2:F$25)</f>
        <v>0</v>
      </c>
      <c r="T19">
        <f>G19/MAX(G$2:G$25)</f>
        <v>0.64628820960698696</v>
      </c>
      <c r="U19">
        <f>H19/MAX(H$2:H$25)</f>
        <v>0.11101398601398603</v>
      </c>
      <c r="V19">
        <f>I19/MAX(I$2:I$25)</f>
        <v>0.52542372881355937</v>
      </c>
      <c r="W19">
        <v>1</v>
      </c>
      <c r="X19" s="6">
        <f>SUMXMY2(O19:V19,B$30:I$30)</f>
        <v>0.52668201338103737</v>
      </c>
    </row>
    <row r="20" spans="1:24" x14ac:dyDescent="0.25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>
        <v>0</v>
      </c>
      <c r="N20">
        <v>19</v>
      </c>
      <c r="O20">
        <f>B20/MAX(B$2:B$25)</f>
        <v>0.1</v>
      </c>
      <c r="P20">
        <f>C20/MAX(C$2:C$25)</f>
        <v>0.52284263959390864</v>
      </c>
      <c r="Q20">
        <f>D20/MAX(D$2:D$25)</f>
        <v>0.3125</v>
      </c>
      <c r="R20">
        <f>E20/MAX(E$2:E$25)</f>
        <v>0.80851063829787229</v>
      </c>
      <c r="S20">
        <f>F20/MAX(F$2:F$25)</f>
        <v>9.8108747044917261E-2</v>
      </c>
      <c r="T20">
        <f>G20/MAX(G$2:G$25)</f>
        <v>0.94541484716157209</v>
      </c>
      <c r="U20">
        <f>H20/MAX(H$2:H$25)</f>
        <v>7.9982517482517487E-2</v>
      </c>
      <c r="V20">
        <f>I20/MAX(I$2:I$25)</f>
        <v>0.55932203389830504</v>
      </c>
      <c r="W20">
        <v>0</v>
      </c>
      <c r="X20" s="6">
        <f>SUMXMY2(O20:V20,B$30:I$30)</f>
        <v>0.79910894064161619</v>
      </c>
    </row>
    <row r="21" spans="1:24" x14ac:dyDescent="0.25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>
        <v>1</v>
      </c>
      <c r="N21">
        <v>20</v>
      </c>
      <c r="O21">
        <f>B21/MAX(B$2:B$25)</f>
        <v>0.1</v>
      </c>
      <c r="P21">
        <f>C21/MAX(C$2:C$25)</f>
        <v>0.58375634517766495</v>
      </c>
      <c r="Q21">
        <f>D21/MAX(D$2:D$25)</f>
        <v>0.72916666666666663</v>
      </c>
      <c r="R21">
        <f>E21/MAX(E$2:E$25)</f>
        <v>0.63829787234042556</v>
      </c>
      <c r="S21">
        <f>F21/MAX(F$2:F$25)</f>
        <v>0.11347517730496454</v>
      </c>
      <c r="T21">
        <f>G21/MAX(G$2:G$25)</f>
        <v>0.75545851528384289</v>
      </c>
      <c r="U21">
        <f>H21/MAX(H$2:H$25)</f>
        <v>0.23120629370629373</v>
      </c>
      <c r="V21">
        <f>I21/MAX(I$2:I$25)</f>
        <v>0.5423728813559322</v>
      </c>
      <c r="W21">
        <v>1</v>
      </c>
      <c r="X21" s="6">
        <f>SUMXMY2(O21:V21,B$30:I$30)</f>
        <v>0.25349536997351668</v>
      </c>
    </row>
    <row r="22" spans="1:24" x14ac:dyDescent="0.25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>
        <v>0</v>
      </c>
      <c r="N22">
        <v>21</v>
      </c>
      <c r="O22">
        <f>B22/MAX(B$2:B$25)</f>
        <v>0.3</v>
      </c>
      <c r="P22">
        <f>C22/MAX(C$2:C$25)</f>
        <v>0.63959390862944165</v>
      </c>
      <c r="Q22">
        <f>D22/MAX(D$2:D$25)</f>
        <v>0.91666666666666663</v>
      </c>
      <c r="R22">
        <f>E22/MAX(E$2:E$25)</f>
        <v>0.87234042553191493</v>
      </c>
      <c r="S22">
        <f>F22/MAX(F$2:F$25)</f>
        <v>0.27777777777777779</v>
      </c>
      <c r="T22">
        <f>G22/MAX(G$2:G$25)</f>
        <v>0.85807860262008728</v>
      </c>
      <c r="U22">
        <f>H22/MAX(H$2:H$25)</f>
        <v>0.30769230769230771</v>
      </c>
      <c r="V22">
        <f>I22/MAX(I$2:I$25)</f>
        <v>0.4576271186440678</v>
      </c>
      <c r="W22">
        <v>0</v>
      </c>
      <c r="X22" s="6">
        <f>SUMXMY2(O22:V22,B$30:I$30)</f>
        <v>0.62789477655010328</v>
      </c>
    </row>
    <row r="23" spans="1:24" x14ac:dyDescent="0.25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>
        <v>0</v>
      </c>
      <c r="N23">
        <v>22</v>
      </c>
      <c r="O23">
        <f>B23/MAX(B$2:B$25)</f>
        <v>0.8</v>
      </c>
      <c r="P23">
        <f>C23/MAX(C$2:C$25)</f>
        <v>0.5025380710659898</v>
      </c>
      <c r="Q23">
        <f>D23/MAX(D$2:D$25)</f>
        <v>0.875</v>
      </c>
      <c r="R23">
        <f>E23/MAX(E$2:E$25)</f>
        <v>0</v>
      </c>
      <c r="S23">
        <f>F23/MAX(F$2:F$25)</f>
        <v>0</v>
      </c>
      <c r="T23">
        <f>G23/MAX(G$2:G$25)</f>
        <v>0.77292576419213976</v>
      </c>
      <c r="U23">
        <f>H23/MAX(H$2:H$25)</f>
        <v>0.16958041958041961</v>
      </c>
      <c r="V23">
        <f>I23/MAX(I$2:I$25)</f>
        <v>0.84745762711864403</v>
      </c>
      <c r="W23">
        <v>0</v>
      </c>
      <c r="X23" s="6">
        <f>SUMXMY2(O23:V23,B$30:I$30)</f>
        <v>0.64240709911248384</v>
      </c>
    </row>
    <row r="24" spans="1:24" x14ac:dyDescent="0.25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>
        <v>1</v>
      </c>
      <c r="N24">
        <v>23</v>
      </c>
      <c r="O24">
        <f>B24/MAX(B$2:B$25)</f>
        <v>0.7</v>
      </c>
      <c r="P24">
        <f>C24/MAX(C$2:C$25)</f>
        <v>0.99492385786802029</v>
      </c>
      <c r="Q24">
        <f>D24/MAX(D$2:D$25)</f>
        <v>0.9375</v>
      </c>
      <c r="R24">
        <f>E24/MAX(E$2:E$25)</f>
        <v>0</v>
      </c>
      <c r="S24">
        <f>F24/MAX(F$2:F$25)</f>
        <v>0</v>
      </c>
      <c r="T24">
        <f>G24/MAX(G$2:G$25)</f>
        <v>0.86899563318777295</v>
      </c>
      <c r="U24">
        <f>H24/MAX(H$2:H$25)</f>
        <v>0.19711538461538464</v>
      </c>
      <c r="V24">
        <f>I24/MAX(I$2:I$25)</f>
        <v>0.69491525423728817</v>
      </c>
      <c r="W24">
        <v>1</v>
      </c>
      <c r="X24" s="6">
        <f>SUMXMY2(O24:V24,B$30:I$30)</f>
        <v>0.53651730526270192</v>
      </c>
    </row>
    <row r="25" spans="1:24" x14ac:dyDescent="0.25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>
        <v>1</v>
      </c>
      <c r="N25">
        <v>24</v>
      </c>
      <c r="O25">
        <f>B25/MAX(B$2:B$25)</f>
        <v>0.9</v>
      </c>
      <c r="P25">
        <f>C25/MAX(C$2:C$25)</f>
        <v>0.60406091370558379</v>
      </c>
      <c r="Q25">
        <f>D25/MAX(D$2:D$25)</f>
        <v>0.83333333333333337</v>
      </c>
      <c r="R25">
        <f>E25/MAX(E$2:E$25)</f>
        <v>0.74468085106382975</v>
      </c>
      <c r="S25">
        <f>F25/MAX(F$2:F$25)</f>
        <v>0</v>
      </c>
      <c r="T25">
        <f>G25/MAX(G$2:G$25)</f>
        <v>0.63318777292576423</v>
      </c>
      <c r="U25">
        <f>H25/MAX(H$2:H$25)</f>
        <v>0.11494755244755246</v>
      </c>
      <c r="V25">
        <f>I25/MAX(I$2:I$25)</f>
        <v>0.49152542372881358</v>
      </c>
      <c r="W25">
        <v>1</v>
      </c>
      <c r="X25" s="6">
        <f>SUMXMY2(O25:V25,B$30:I$30)</f>
        <v>1.0360604826627924</v>
      </c>
    </row>
    <row r="28" spans="1:24" ht="15.75" thickBot="1" x14ac:dyDescent="0.3"/>
    <row r="29" spans="1:24" ht="15.75" thickBot="1" x14ac:dyDescent="0.3">
      <c r="A29" s="1" t="s">
        <v>14</v>
      </c>
      <c r="B29" s="2">
        <v>1</v>
      </c>
      <c r="C29" s="2">
        <v>140</v>
      </c>
      <c r="D29" s="2">
        <v>80</v>
      </c>
      <c r="E29" s="2">
        <v>10</v>
      </c>
      <c r="F29" s="2">
        <v>0</v>
      </c>
      <c r="G29" s="2">
        <v>34</v>
      </c>
      <c r="H29" s="2">
        <v>0.8</v>
      </c>
      <c r="I29" s="2">
        <v>40</v>
      </c>
      <c r="J29" t="s">
        <v>24</v>
      </c>
      <c r="K29" t="s">
        <v>25</v>
      </c>
    </row>
    <row r="30" spans="1:24" x14ac:dyDescent="0.25">
      <c r="A30" t="s">
        <v>29</v>
      </c>
      <c r="B30" s="5">
        <f>B29/MAX(B$2:B$25)</f>
        <v>0.1</v>
      </c>
      <c r="C30" s="5">
        <f t="shared" ref="C30:I30" si="0">C29/MAX(C$2:C$25)</f>
        <v>0.71065989847715738</v>
      </c>
      <c r="D30" s="5">
        <f t="shared" si="0"/>
        <v>0.83333333333333337</v>
      </c>
      <c r="E30" s="5">
        <f t="shared" si="0"/>
        <v>0.21276595744680851</v>
      </c>
      <c r="F30" s="5">
        <f t="shared" si="0"/>
        <v>0</v>
      </c>
      <c r="G30" s="5">
        <f t="shared" si="0"/>
        <v>0.74235807860262015</v>
      </c>
      <c r="H30" s="5">
        <f t="shared" si="0"/>
        <v>0.34965034965034969</v>
      </c>
      <c r="I30" s="5">
        <f t="shared" si="0"/>
        <v>0.67796610169491522</v>
      </c>
      <c r="J30" t="s">
        <v>24</v>
      </c>
    </row>
    <row r="31" spans="1:24" x14ac:dyDescent="0.25">
      <c r="Q31">
        <f>MIN(X2:X25)</f>
        <v>0.25349536997351668</v>
      </c>
      <c r="S31" t="s">
        <v>32</v>
      </c>
      <c r="V31" t="s">
        <v>34</v>
      </c>
    </row>
    <row r="32" spans="1:24" x14ac:dyDescent="0.25">
      <c r="Q32">
        <f>MAX(X2:X25)</f>
        <v>1.6861139488573174</v>
      </c>
      <c r="S32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O20" sqref="O20"/>
    </sheetView>
  </sheetViews>
  <sheetFormatPr defaultRowHeight="15" x14ac:dyDescent="0.25"/>
  <sheetData>
    <row r="1" spans="1:17" x14ac:dyDescent="0.25">
      <c r="A1" s="8">
        <v>20</v>
      </c>
      <c r="B1" s="8">
        <v>0.1</v>
      </c>
      <c r="C1" s="8">
        <v>0.58375634517766495</v>
      </c>
      <c r="D1" s="8">
        <v>0.72916666666666663</v>
      </c>
      <c r="E1" s="8">
        <v>0.63829787234042556</v>
      </c>
      <c r="F1" s="8">
        <v>0.11347517730496454</v>
      </c>
      <c r="G1" s="8">
        <v>0.75545851528384289</v>
      </c>
      <c r="H1" s="8">
        <v>0.23120629370629373</v>
      </c>
      <c r="I1" s="8">
        <v>0.5423728813559322</v>
      </c>
      <c r="J1" s="8">
        <v>1</v>
      </c>
      <c r="K1" s="8">
        <v>0.25349536997351668</v>
      </c>
      <c r="O1" t="s">
        <v>35</v>
      </c>
    </row>
    <row r="2" spans="1:17" x14ac:dyDescent="0.25">
      <c r="A2" s="8">
        <v>11</v>
      </c>
      <c r="B2" s="8">
        <v>0.4</v>
      </c>
      <c r="C2" s="8">
        <v>0.55837563451776651</v>
      </c>
      <c r="D2" s="8">
        <v>0.95833333333333337</v>
      </c>
      <c r="E2" s="8">
        <v>0</v>
      </c>
      <c r="F2" s="8">
        <v>0</v>
      </c>
      <c r="G2" s="8">
        <v>0.82096069868995636</v>
      </c>
      <c r="H2" s="8">
        <v>8.347902097902099E-2</v>
      </c>
      <c r="I2" s="8">
        <v>0.50847457627118642</v>
      </c>
      <c r="J2" s="8">
        <v>0</v>
      </c>
      <c r="K2" s="8">
        <v>0.2798377749796277</v>
      </c>
    </row>
    <row r="3" spans="1:17" x14ac:dyDescent="0.25">
      <c r="A3" s="8">
        <v>15</v>
      </c>
      <c r="B3" s="8">
        <v>0.5</v>
      </c>
      <c r="C3" s="8">
        <v>0.84263959390862941</v>
      </c>
      <c r="D3" s="8">
        <v>0.75</v>
      </c>
      <c r="E3" s="8">
        <v>0.40425531914893614</v>
      </c>
      <c r="F3" s="8">
        <v>0.20685579196217493</v>
      </c>
      <c r="G3" s="8">
        <v>0.56331877729257651</v>
      </c>
      <c r="H3" s="8">
        <v>0.25655594405594406</v>
      </c>
      <c r="I3" s="8">
        <v>0.86440677966101698</v>
      </c>
      <c r="J3" s="8">
        <v>1</v>
      </c>
      <c r="K3" s="8">
        <v>0.33930234493103939</v>
      </c>
      <c r="O3" t="s">
        <v>36</v>
      </c>
    </row>
    <row r="4" spans="1:17" x14ac:dyDescent="0.25">
      <c r="A4" s="8">
        <v>2</v>
      </c>
      <c r="B4" s="8">
        <v>0.1</v>
      </c>
      <c r="C4" s="8">
        <v>0.43147208121827413</v>
      </c>
      <c r="D4" s="8">
        <v>0.6875</v>
      </c>
      <c r="E4" s="8">
        <v>0.61702127659574468</v>
      </c>
      <c r="F4" s="8">
        <v>0</v>
      </c>
      <c r="G4" s="8">
        <v>0.58078602620087338</v>
      </c>
      <c r="H4" s="8">
        <v>0.15340909090909091</v>
      </c>
      <c r="I4" s="8">
        <v>0.52542372881355937</v>
      </c>
      <c r="J4" s="8">
        <v>0</v>
      </c>
      <c r="K4" s="8">
        <v>0.35052089675104009</v>
      </c>
      <c r="O4" t="s">
        <v>37</v>
      </c>
    </row>
    <row r="5" spans="1:17" x14ac:dyDescent="0.25">
      <c r="A5" s="8">
        <v>6</v>
      </c>
      <c r="B5" s="8">
        <v>0.5</v>
      </c>
      <c r="C5" s="8">
        <v>0.58883248730964466</v>
      </c>
      <c r="D5" s="8">
        <v>0.77083333333333337</v>
      </c>
      <c r="E5" s="8">
        <v>0</v>
      </c>
      <c r="F5" s="8">
        <v>0</v>
      </c>
      <c r="G5" s="8">
        <v>0.55895196506550227</v>
      </c>
      <c r="H5" s="8">
        <v>8.7849650349650366E-2</v>
      </c>
      <c r="I5" s="8">
        <v>0.50847457627118642</v>
      </c>
      <c r="J5" s="8">
        <v>0</v>
      </c>
      <c r="K5" s="8">
        <v>0.35492230658762325</v>
      </c>
    </row>
    <row r="6" spans="1:17" x14ac:dyDescent="0.25">
      <c r="A6" s="8">
        <v>4</v>
      </c>
      <c r="B6" s="8">
        <v>0.1</v>
      </c>
      <c r="C6" s="8">
        <v>0.45177664974619292</v>
      </c>
      <c r="D6" s="8">
        <v>0.6875</v>
      </c>
      <c r="E6" s="8">
        <v>0.48936170212765956</v>
      </c>
      <c r="F6" s="8">
        <v>0.1111111111111111</v>
      </c>
      <c r="G6" s="8">
        <v>0.61353711790393017</v>
      </c>
      <c r="H6" s="8">
        <v>7.2989510489510495E-2</v>
      </c>
      <c r="I6" s="8">
        <v>0.3559322033898305</v>
      </c>
      <c r="J6" s="8">
        <v>0</v>
      </c>
      <c r="K6" s="8">
        <v>0.37398067407059249</v>
      </c>
      <c r="O6" t="s">
        <v>38</v>
      </c>
    </row>
    <row r="7" spans="1:17" x14ac:dyDescent="0.25">
      <c r="A7" s="9">
        <v>18</v>
      </c>
      <c r="B7" s="9">
        <v>0.7</v>
      </c>
      <c r="C7" s="9">
        <v>0.54314720812182737</v>
      </c>
      <c r="D7" s="9">
        <v>0.77083333333333337</v>
      </c>
      <c r="E7" s="9">
        <v>0</v>
      </c>
      <c r="F7" s="9">
        <v>0</v>
      </c>
      <c r="G7" s="9">
        <v>0.64628820960698696</v>
      </c>
      <c r="H7" s="9">
        <v>0.11101398601398603</v>
      </c>
      <c r="I7" s="9">
        <v>0.52542372881355937</v>
      </c>
      <c r="J7" s="9">
        <v>1</v>
      </c>
      <c r="K7" s="9">
        <v>0.52668201338103737</v>
      </c>
    </row>
    <row r="8" spans="1:17" x14ac:dyDescent="0.25">
      <c r="A8" s="9">
        <v>23</v>
      </c>
      <c r="B8" s="9">
        <v>0.7</v>
      </c>
      <c r="C8" s="9">
        <v>0.99492385786802029</v>
      </c>
      <c r="D8" s="9">
        <v>0.9375</v>
      </c>
      <c r="E8" s="9">
        <v>0</v>
      </c>
      <c r="F8" s="9">
        <v>0</v>
      </c>
      <c r="G8" s="9">
        <v>0.86899563318777295</v>
      </c>
      <c r="H8" s="9">
        <v>0.19711538461538464</v>
      </c>
      <c r="I8" s="9">
        <v>0.69491525423728817</v>
      </c>
      <c r="J8" s="9">
        <v>1</v>
      </c>
      <c r="K8" s="9">
        <v>0.53651730526270192</v>
      </c>
      <c r="O8" t="s">
        <v>39</v>
      </c>
    </row>
    <row r="9" spans="1:17" x14ac:dyDescent="0.25">
      <c r="A9" s="9">
        <v>1</v>
      </c>
      <c r="B9" s="9">
        <v>0.6</v>
      </c>
      <c r="C9" s="9">
        <v>0.75126903553299496</v>
      </c>
      <c r="D9" s="9">
        <v>0.75</v>
      </c>
      <c r="E9" s="9">
        <v>0.74468085106382975</v>
      </c>
      <c r="F9" s="9">
        <v>0</v>
      </c>
      <c r="G9" s="9">
        <v>0.73362445414847166</v>
      </c>
      <c r="H9" s="9">
        <v>0.27403846153846156</v>
      </c>
      <c r="I9" s="9">
        <v>0.84745762711864403</v>
      </c>
      <c r="J9" s="9">
        <v>1</v>
      </c>
      <c r="K9" s="9">
        <v>0.57604781151888462</v>
      </c>
    </row>
    <row r="10" spans="1:17" x14ac:dyDescent="0.25">
      <c r="A10" s="9">
        <v>7</v>
      </c>
      <c r="B10" s="9">
        <v>0.3</v>
      </c>
      <c r="C10" s="9">
        <v>0.39593908629441626</v>
      </c>
      <c r="D10" s="9">
        <v>0.52083333333333337</v>
      </c>
      <c r="E10" s="9">
        <v>0.68085106382978722</v>
      </c>
      <c r="F10" s="9">
        <v>0.10401891252955082</v>
      </c>
      <c r="G10" s="9">
        <v>0.67685589519650657</v>
      </c>
      <c r="H10" s="9">
        <v>0.1083916083916084</v>
      </c>
      <c r="I10" s="9">
        <v>0.44067796610169491</v>
      </c>
      <c r="J10" s="9">
        <v>1</v>
      </c>
      <c r="K10" s="9">
        <v>0.58543101616038606</v>
      </c>
      <c r="O10" t="s">
        <v>40</v>
      </c>
    </row>
    <row r="11" spans="1:17" x14ac:dyDescent="0.25">
      <c r="A11" s="9">
        <v>21</v>
      </c>
      <c r="B11" s="9">
        <v>0.3</v>
      </c>
      <c r="C11" s="9">
        <v>0.63959390862944165</v>
      </c>
      <c r="D11" s="9">
        <v>0.91666666666666663</v>
      </c>
      <c r="E11" s="9">
        <v>0.87234042553191493</v>
      </c>
      <c r="F11" s="9">
        <v>0.27777777777777779</v>
      </c>
      <c r="G11" s="9">
        <v>0.85807860262008728</v>
      </c>
      <c r="H11" s="9">
        <v>0.30769230769230771</v>
      </c>
      <c r="I11" s="9">
        <v>0.4576271186440678</v>
      </c>
      <c r="J11" s="9">
        <v>0</v>
      </c>
      <c r="K11" s="9">
        <v>0.62789477655010328</v>
      </c>
    </row>
    <row r="12" spans="1:17" x14ac:dyDescent="0.25">
      <c r="A12" s="9">
        <v>22</v>
      </c>
      <c r="B12" s="9">
        <v>0.8</v>
      </c>
      <c r="C12" s="9">
        <v>0.5025380710659898</v>
      </c>
      <c r="D12" s="9">
        <v>0.875</v>
      </c>
      <c r="E12" s="9">
        <v>0</v>
      </c>
      <c r="F12" s="9">
        <v>0</v>
      </c>
      <c r="G12" s="9">
        <v>0.77292576419213976</v>
      </c>
      <c r="H12" s="9">
        <v>0.16958041958041961</v>
      </c>
      <c r="I12" s="9">
        <v>0.84745762711864403</v>
      </c>
      <c r="J12" s="9">
        <v>0</v>
      </c>
      <c r="K12" s="9">
        <v>0.64240709911248384</v>
      </c>
    </row>
    <row r="13" spans="1:17" x14ac:dyDescent="0.25">
      <c r="A13" s="9">
        <v>3</v>
      </c>
      <c r="B13" s="9">
        <v>0.8</v>
      </c>
      <c r="C13" s="9">
        <v>0.92893401015228427</v>
      </c>
      <c r="D13" s="9">
        <v>0.66666666666666663</v>
      </c>
      <c r="E13" s="9">
        <v>0</v>
      </c>
      <c r="F13" s="9">
        <v>0</v>
      </c>
      <c r="G13" s="9">
        <v>0.50873362445414849</v>
      </c>
      <c r="H13" s="9">
        <v>0.29370629370629375</v>
      </c>
      <c r="I13" s="9">
        <v>0.5423728813559322</v>
      </c>
      <c r="J13" s="9">
        <v>1</v>
      </c>
      <c r="K13" s="9">
        <v>0.68678636262713966</v>
      </c>
      <c r="O13" t="s">
        <v>41</v>
      </c>
      <c r="Q13" t="s">
        <v>42</v>
      </c>
    </row>
    <row r="14" spans="1:17" x14ac:dyDescent="0.25">
      <c r="A14" s="9">
        <v>19</v>
      </c>
      <c r="B14" s="9">
        <v>0.1</v>
      </c>
      <c r="C14" s="9">
        <v>0.52284263959390864</v>
      </c>
      <c r="D14" s="9">
        <v>0.3125</v>
      </c>
      <c r="E14" s="9">
        <v>0.80851063829787229</v>
      </c>
      <c r="F14" s="9">
        <v>9.8108747044917261E-2</v>
      </c>
      <c r="G14" s="9">
        <v>0.94541484716157209</v>
      </c>
      <c r="H14" s="9">
        <v>7.9982517482517487E-2</v>
      </c>
      <c r="I14" s="9">
        <v>0.55932203389830504</v>
      </c>
      <c r="J14" s="9">
        <v>0</v>
      </c>
      <c r="K14" s="9">
        <v>0.79910894064161619</v>
      </c>
    </row>
    <row r="15" spans="1:17" x14ac:dyDescent="0.25">
      <c r="A15" s="9">
        <v>17</v>
      </c>
      <c r="B15" s="9">
        <v>0</v>
      </c>
      <c r="C15" s="9">
        <v>0.59898477157360408</v>
      </c>
      <c r="D15" s="9">
        <v>0.875</v>
      </c>
      <c r="E15" s="9">
        <v>1</v>
      </c>
      <c r="F15" s="9">
        <v>0.27186761229314421</v>
      </c>
      <c r="G15" s="9">
        <v>1</v>
      </c>
      <c r="H15" s="9">
        <v>0.24082167832167836</v>
      </c>
      <c r="I15" s="9">
        <v>0.52542372881355937</v>
      </c>
      <c r="J15" s="9">
        <v>1</v>
      </c>
      <c r="K15" s="9">
        <v>0.8193490963374237</v>
      </c>
      <c r="O15" t="s">
        <v>43</v>
      </c>
      <c r="Q15" t="s">
        <v>44</v>
      </c>
    </row>
    <row r="16" spans="1:17" x14ac:dyDescent="0.25">
      <c r="A16" s="9">
        <v>12</v>
      </c>
      <c r="B16" s="9">
        <v>1</v>
      </c>
      <c r="C16" s="9">
        <v>0.85279187817258884</v>
      </c>
      <c r="D16" s="9">
        <v>0.77083333333333337</v>
      </c>
      <c r="E16" s="9">
        <v>0</v>
      </c>
      <c r="F16" s="9">
        <v>0</v>
      </c>
      <c r="G16" s="9">
        <v>0.82969432314410485</v>
      </c>
      <c r="H16" s="9">
        <v>0.23470279720279724</v>
      </c>
      <c r="I16" s="9">
        <v>0.57627118644067798</v>
      </c>
      <c r="J16" s="9">
        <v>1</v>
      </c>
      <c r="K16" s="9">
        <v>0.91055951751325903</v>
      </c>
      <c r="O16" t="s">
        <v>45</v>
      </c>
    </row>
    <row r="17" spans="1:15" x14ac:dyDescent="0.25">
      <c r="A17" s="9">
        <v>5</v>
      </c>
      <c r="B17" s="9">
        <v>0</v>
      </c>
      <c r="C17" s="9">
        <v>0.69543147208121825</v>
      </c>
      <c r="D17" s="9">
        <v>0.41666666666666669</v>
      </c>
      <c r="E17" s="9">
        <v>0.74468085106382975</v>
      </c>
      <c r="F17" s="9">
        <v>0.19858156028368795</v>
      </c>
      <c r="G17" s="9">
        <v>0.94104803493449796</v>
      </c>
      <c r="H17" s="9">
        <v>1</v>
      </c>
      <c r="I17" s="9">
        <v>0.55932203389830504</v>
      </c>
      <c r="J17" s="9">
        <v>1</v>
      </c>
      <c r="K17" s="9">
        <v>0.98271988749832129</v>
      </c>
    </row>
    <row r="18" spans="1:15" x14ac:dyDescent="0.25">
      <c r="A18">
        <v>24</v>
      </c>
      <c r="B18">
        <v>0.9</v>
      </c>
      <c r="C18">
        <v>0.60406091370558379</v>
      </c>
      <c r="D18">
        <v>0.83333333333333337</v>
      </c>
      <c r="E18">
        <v>0.74468085106382975</v>
      </c>
      <c r="F18">
        <v>0</v>
      </c>
      <c r="G18">
        <v>0.63318777292576423</v>
      </c>
      <c r="H18">
        <v>0.11494755244755246</v>
      </c>
      <c r="I18">
        <v>0.49152542372881358</v>
      </c>
      <c r="J18">
        <v>1</v>
      </c>
      <c r="K18">
        <v>1.0360604826627924</v>
      </c>
      <c r="O18" t="s">
        <v>46</v>
      </c>
    </row>
    <row r="19" spans="1:15" x14ac:dyDescent="0.25">
      <c r="A19">
        <v>13</v>
      </c>
      <c r="B19">
        <v>1</v>
      </c>
      <c r="C19">
        <v>0.70558375634517767</v>
      </c>
      <c r="D19">
        <v>0.83333333333333337</v>
      </c>
      <c r="E19">
        <v>0</v>
      </c>
      <c r="F19">
        <v>0</v>
      </c>
      <c r="G19">
        <v>0.59170305676855905</v>
      </c>
      <c r="H19">
        <v>0.6298076923076924</v>
      </c>
      <c r="I19">
        <v>0.96610169491525422</v>
      </c>
      <c r="J19">
        <v>0</v>
      </c>
      <c r="K19">
        <v>1.0395023121962832</v>
      </c>
    </row>
    <row r="20" spans="1:15" x14ac:dyDescent="0.25">
      <c r="A20">
        <v>16</v>
      </c>
      <c r="B20">
        <v>0.7</v>
      </c>
      <c r="C20">
        <v>0.50761421319796951</v>
      </c>
      <c r="D20">
        <v>0</v>
      </c>
      <c r="E20">
        <v>0</v>
      </c>
      <c r="F20">
        <v>0</v>
      </c>
      <c r="G20">
        <v>0.65502183406113546</v>
      </c>
      <c r="H20">
        <v>0.21153846153846154</v>
      </c>
      <c r="I20">
        <v>0.5423728813559322</v>
      </c>
      <c r="J20">
        <v>1</v>
      </c>
      <c r="K20">
        <v>1.1860293820535333</v>
      </c>
    </row>
    <row r="21" spans="1:15" x14ac:dyDescent="0.25">
      <c r="A21">
        <v>9</v>
      </c>
      <c r="B21">
        <v>0.2</v>
      </c>
      <c r="C21">
        <v>1</v>
      </c>
      <c r="D21">
        <v>0.72916666666666663</v>
      </c>
      <c r="E21">
        <v>0.95744680851063835</v>
      </c>
      <c r="F21">
        <v>0.64184397163120566</v>
      </c>
      <c r="G21">
        <v>0.66593886462882101</v>
      </c>
      <c r="H21">
        <v>6.9055944055944063E-2</v>
      </c>
      <c r="I21">
        <v>0.89830508474576276</v>
      </c>
      <c r="J21">
        <v>1</v>
      </c>
      <c r="K21">
        <v>1.2042040268212959</v>
      </c>
    </row>
    <row r="22" spans="1:15" x14ac:dyDescent="0.25">
      <c r="A22">
        <v>10</v>
      </c>
      <c r="B22">
        <v>0.8</v>
      </c>
      <c r="C22">
        <v>0.63451776649746194</v>
      </c>
      <c r="D22">
        <v>1</v>
      </c>
      <c r="E22">
        <v>0</v>
      </c>
      <c r="F22">
        <v>0</v>
      </c>
      <c r="G22">
        <v>0</v>
      </c>
      <c r="H22">
        <v>0.10139860139860141</v>
      </c>
      <c r="I22">
        <v>0.9152542372881356</v>
      </c>
      <c r="J22">
        <v>1</v>
      </c>
      <c r="K22">
        <v>1.2378748613583783</v>
      </c>
    </row>
    <row r="23" spans="1:15" x14ac:dyDescent="0.25">
      <c r="A23">
        <v>14</v>
      </c>
      <c r="B23">
        <v>0.1</v>
      </c>
      <c r="C23">
        <v>0.95939086294416243</v>
      </c>
      <c r="D23">
        <v>0.625</v>
      </c>
      <c r="E23">
        <v>0.48936170212765956</v>
      </c>
      <c r="F23">
        <v>1</v>
      </c>
      <c r="G23">
        <v>0.65720524017467252</v>
      </c>
      <c r="H23">
        <v>0.17395104895104899</v>
      </c>
      <c r="I23">
        <v>1</v>
      </c>
      <c r="J23">
        <v>1</v>
      </c>
      <c r="K23">
        <v>1.3236021582541477</v>
      </c>
    </row>
    <row r="24" spans="1:15" x14ac:dyDescent="0.25">
      <c r="A24">
        <v>8</v>
      </c>
      <c r="B24">
        <v>1</v>
      </c>
      <c r="C24">
        <v>0.58375634517766495</v>
      </c>
      <c r="D24">
        <v>0</v>
      </c>
      <c r="E24">
        <v>0</v>
      </c>
      <c r="F24">
        <v>0</v>
      </c>
      <c r="G24">
        <v>0.77074235807860259</v>
      </c>
      <c r="H24">
        <v>5.8566433566433575E-2</v>
      </c>
      <c r="I24">
        <v>0.49152542372881358</v>
      </c>
      <c r="J24">
        <v>0</v>
      </c>
      <c r="K24">
        <v>1.6861139488573174</v>
      </c>
    </row>
    <row r="25" spans="1:15" x14ac:dyDescent="0.25">
      <c r="A25" s="7" t="s">
        <v>15</v>
      </c>
      <c r="B25" s="7" t="s">
        <v>9</v>
      </c>
      <c r="C25" s="7" t="s">
        <v>10</v>
      </c>
      <c r="D25" s="7" t="s">
        <v>26</v>
      </c>
      <c r="E25" s="7" t="s">
        <v>27</v>
      </c>
      <c r="F25" s="7" t="s">
        <v>11</v>
      </c>
      <c r="G25" s="7" t="s">
        <v>28</v>
      </c>
      <c r="H25" s="7" t="s">
        <v>12</v>
      </c>
      <c r="I25" s="7" t="s">
        <v>13</v>
      </c>
      <c r="J25" s="7" t="s">
        <v>8</v>
      </c>
      <c r="K25" s="7" t="s">
        <v>30</v>
      </c>
    </row>
  </sheetData>
  <sortState ref="A1:K25">
    <sortCondition ref="K1:K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B20" sqref="B20"/>
    </sheetView>
  </sheetViews>
  <sheetFormatPr defaultRowHeight="15" x14ac:dyDescent="0.25"/>
  <sheetData>
    <row r="1" spans="1:1" x14ac:dyDescent="0.25">
      <c r="A1" t="s">
        <v>16</v>
      </c>
    </row>
    <row r="3" spans="1:1" x14ac:dyDescent="0.25">
      <c r="A3" t="s">
        <v>18</v>
      </c>
    </row>
    <row r="4" spans="1:1" x14ac:dyDescent="0.25">
      <c r="A4" t="s">
        <v>17</v>
      </c>
    </row>
    <row r="5" spans="1:1" x14ac:dyDescent="0.25">
      <c r="A5" t="s">
        <v>19</v>
      </c>
    </row>
    <row r="7" spans="1:1" x14ac:dyDescent="0.25">
      <c r="A7" t="s">
        <v>20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IIITB</dc:creator>
  <cp:lastModifiedBy>IIIT-B Guest</cp:lastModifiedBy>
  <dcterms:created xsi:type="dcterms:W3CDTF">2025-04-22T09:05:44Z</dcterms:created>
  <dcterms:modified xsi:type="dcterms:W3CDTF">2025-09-10T12:50:23Z</dcterms:modified>
</cp:coreProperties>
</file>